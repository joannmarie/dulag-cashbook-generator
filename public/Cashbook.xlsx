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o Ann\Downloads\"/>
    </mc:Choice>
  </mc:AlternateContent>
  <bookViews>
    <workbookView xWindow="0" yWindow="0" windowWidth="20490" windowHeight="7035"/>
  </bookViews>
  <sheets>
    <sheet name="jan-26 " sheetId="1" r:id="rId1"/>
  </sheets>
  <definedNames>
    <definedName name="_xlnm.Print_Titles" localSheetId="0">'jan-26 '!$1:$2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5" i="1" l="1"/>
  <c r="D35" i="1"/>
  <c r="F35" i="1" s="1"/>
  <c r="F4" i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</calcChain>
</file>

<file path=xl/sharedStrings.xml><?xml version="1.0" encoding="utf-8"?>
<sst xmlns="http://schemas.openxmlformats.org/spreadsheetml/2006/main" count="63" uniqueCount="53">
  <si>
    <t>DATE</t>
  </si>
  <si>
    <t>PARTICULARS</t>
  </si>
  <si>
    <t>REFERENCE</t>
  </si>
  <si>
    <t>CASH IN TREASURY</t>
  </si>
  <si>
    <t xml:space="preserve">DEBIT </t>
  </si>
  <si>
    <t>CREDIT</t>
  </si>
  <si>
    <t>BALANCE</t>
  </si>
  <si>
    <t>BEGINNING BALANCE</t>
  </si>
  <si>
    <t>01.05.2026</t>
  </si>
  <si>
    <t>Report of Collections &amp; Deposit - CPQ 2026-01-001</t>
  </si>
  <si>
    <t>01.06.2026</t>
  </si>
  <si>
    <t>Report of Collections &amp; Deposit - CPQ 2026-01-002</t>
  </si>
  <si>
    <t>01.07.2026</t>
  </si>
  <si>
    <t>Report of Collections &amp; Deposit - CPQ 2026-01-003</t>
  </si>
  <si>
    <t>01.08.2026</t>
  </si>
  <si>
    <t>Report of Collections &amp; Deposit - CPQ 2026-01-004</t>
  </si>
  <si>
    <t>01.09.2026</t>
  </si>
  <si>
    <t>Report of Collections &amp; Deposit - CPQ 2026-01-005</t>
  </si>
  <si>
    <t>01.12.2026</t>
  </si>
  <si>
    <t>Report of Collections &amp; Deposit - CPQ 2026-01-006</t>
  </si>
  <si>
    <t>01.13.2026</t>
  </si>
  <si>
    <t>Report of Collections &amp; Deposit - CPQ 2026-01-007</t>
  </si>
  <si>
    <t>01.14.2026</t>
  </si>
  <si>
    <t>Report of Collections &amp; Deposit - CPQ 2026-01-008</t>
  </si>
  <si>
    <t>01.15.2026</t>
  </si>
  <si>
    <t>Report of Collections &amp; Deposit - CPQ 2026-01-009</t>
  </si>
  <si>
    <t>01.16.2026</t>
  </si>
  <si>
    <t>Report of Collections &amp; Deposit - CPQ 2026-01-010</t>
  </si>
  <si>
    <t>01.19.2026</t>
  </si>
  <si>
    <t>Report of Collections &amp; Deposit - CPQ 2026-01-011</t>
  </si>
  <si>
    <t>01.20.2026</t>
  </si>
  <si>
    <t>Report of Collections &amp; Deposit - CPQ 2026-01-012</t>
  </si>
  <si>
    <t>01.21.2026</t>
  </si>
  <si>
    <t>Report of Collections &amp; Deposit - CPQ 2026-01-013</t>
  </si>
  <si>
    <t>01.22.2026</t>
  </si>
  <si>
    <t>Report of Collections &amp; Deposit - CPQ 2026-01-014</t>
  </si>
  <si>
    <t>01.23.2026</t>
  </si>
  <si>
    <t>Report of Collections &amp; Deposit - CPQ 2026-01-015</t>
  </si>
  <si>
    <t>01.26.2026</t>
  </si>
  <si>
    <t>Report of Collections &amp; Deposit - CPQ 2026-01-016</t>
  </si>
  <si>
    <t>01.27.2026</t>
  </si>
  <si>
    <t>Report of Collections &amp; Deposit - CPQ 2026-01-017</t>
  </si>
  <si>
    <t>01.28.2026</t>
  </si>
  <si>
    <t>Report of Collections &amp; Deposit - CPQ 2026-01-018</t>
  </si>
  <si>
    <t>01.29.2026</t>
  </si>
  <si>
    <t>Report of Collections &amp; Deposit - CPQ 2026-01-019</t>
  </si>
  <si>
    <t>01.30.2026</t>
  </si>
  <si>
    <t>Report of Collections &amp; Deposit - CPQ 2026-01-020</t>
  </si>
  <si>
    <t>01.31.2026</t>
  </si>
  <si>
    <t>Report of Collections &amp; Deposit - CPQ 2026-01-021</t>
  </si>
  <si>
    <t xml:space="preserve">I HEREBY CERTIFY that the foregoing is a correct and complete record of the cash transactions had by me in my capacity as Municipal Treasurer of LGU-Dulag, Leyte during the period from JANUARY 01-31, 2026, inclusive, as indicated in the corresponding columns. </t>
  </si>
  <si>
    <t xml:space="preserve">                                                       RONALD L. GOBANGCO</t>
  </si>
  <si>
    <t>Muncipal Treasurer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</si>
</sst>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164" fontId="0" fillId="0" borderId="2" xfId="1" applyFont="1" applyBorder="1"/>
    <xf numFmtId="43" fontId="0" fillId="0" borderId="0" xfId="0" applyNumberFormat="1"/>
    <xf numFmtId="14" fontId="0" fillId="0" borderId="2" xfId="0" applyNumberForma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0" fillId="0" borderId="2" xfId="0" applyBorder="1" applyAlignment="1">
      <alignment horizontal="right"/>
    </xf>
    <xf numFmtId="164" fontId="0" fillId="0" borderId="2" xfId="1" applyFont="1" applyFill="1" applyBorder="1"/>
    <xf numFmtId="0" fontId="3" fillId="0" borderId="2" xfId="0" applyFont="1" applyBorder="1" applyAlignment="1">
      <alignment horizontal="right"/>
    </xf>
    <xf numFmtId="164" fontId="1" fillId="0" borderId="2" xfId="1" applyFont="1" applyBorder="1" applyAlignment="1">
      <alignment horizontal="right"/>
    </xf>
    <xf numFmtId="164" fontId="1" fillId="0" borderId="3" xfId="1" applyFont="1" applyBorder="1" applyAlignment="1">
      <alignment horizontal="right"/>
    </xf>
    <xf numFmtId="164" fontId="1" fillId="0" borderId="2" xfId="1" applyFont="1" applyBorder="1"/>
    <xf numFmtId="164" fontId="1" fillId="0" borderId="3" xfId="1" applyFont="1" applyBorder="1"/>
    <xf numFmtId="164" fontId="4" fillId="0" borderId="4" xfId="1" applyFont="1" applyBorder="1" applyAlignment="1">
      <alignment horizontal="right"/>
    </xf>
    <xf numFmtId="164" fontId="1" fillId="2" borderId="5" xfId="1" applyFont="1" applyFill="1" applyBorder="1"/>
    <xf numFmtId="164" fontId="1" fillId="2" borderId="5" xfId="1" applyFont="1" applyFill="1" applyBorder="1" applyAlignment="1"/>
    <xf numFmtId="164" fontId="0" fillId="2" borderId="5" xfId="1" applyFont="1" applyFill="1" applyBorder="1"/>
    <xf numFmtId="164" fontId="0" fillId="0" borderId="3" xfId="1" applyFont="1" applyBorder="1"/>
    <xf numFmtId="0" fontId="0" fillId="3" borderId="0" xfId="0" applyFill="1"/>
    <xf numFmtId="0" fontId="0" fillId="0" borderId="3" xfId="0" applyBorder="1" applyAlignment="1">
      <alignment horizontal="center"/>
    </xf>
    <xf numFmtId="0" fontId="3" fillId="0" borderId="3" xfId="0" applyFont="1" applyBorder="1" applyAlignment="1">
      <alignment vertical="top" wrapText="1"/>
    </xf>
    <xf numFmtId="164" fontId="3" fillId="0" borderId="3" xfId="1" applyFont="1" applyBorder="1" applyAlignment="1">
      <alignment horizontal="right"/>
    </xf>
    <xf numFmtId="0" fontId="3" fillId="0" borderId="2" xfId="0" applyFont="1" applyBorder="1" applyAlignment="1">
      <alignment vertical="top" wrapText="1"/>
    </xf>
    <xf numFmtId="164" fontId="3" fillId="0" borderId="2" xfId="1" applyFont="1" applyBorder="1" applyAlignment="1">
      <alignment horizontal="right"/>
    </xf>
    <xf numFmtId="0" fontId="0" fillId="0" borderId="2" xfId="0" applyBorder="1" applyAlignment="1">
      <alignment horizontal="left"/>
    </xf>
    <xf numFmtId="164" fontId="0" fillId="0" borderId="2" xfId="1" applyFont="1" applyBorder="1" applyAlignment="1">
      <alignment horizontal="center"/>
    </xf>
    <xf numFmtId="0" fontId="3" fillId="0" borderId="2" xfId="0" applyFont="1" applyBorder="1" applyAlignment="1">
      <alignment horizontal="left" vertical="top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5" fontId="0" fillId="0" borderId="2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164" fontId="0" fillId="0" borderId="0" xfId="1" applyFont="1" applyBorder="1"/>
    <xf numFmtId="164" fontId="3" fillId="0" borderId="0" xfId="1" applyFont="1" applyBorder="1" applyAlignment="1">
      <alignment horizontal="right"/>
    </xf>
    <xf numFmtId="0" fontId="3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4"/>
  <sheetViews>
    <sheetView tabSelected="1" zoomScaleNormal="100" workbookViewId="0">
      <selection activeCell="I10" sqref="I10"/>
    </sheetView>
  </sheetViews>
  <sheetFormatPr defaultRowHeight="15" x14ac:dyDescent="0.25"/>
  <cols>
    <col min="1" max="1" width="11.42578125" style="37" customWidth="1"/>
    <col min="2" max="2" width="41.5703125" customWidth="1"/>
    <col min="3" max="3" width="11.85546875" customWidth="1"/>
    <col min="4" max="4" width="13.85546875" customWidth="1"/>
    <col min="5" max="5" width="14.5703125" customWidth="1"/>
    <col min="6" max="6" width="16.42578125" customWidth="1"/>
    <col min="8" max="8" width="13.85546875" customWidth="1"/>
    <col min="9" max="9" width="1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/>
      <c r="F1" s="2"/>
    </row>
    <row r="2" spans="1:9" x14ac:dyDescent="0.25">
      <c r="A2" s="3"/>
      <c r="B2" s="4"/>
      <c r="C2" s="4"/>
      <c r="D2" s="5" t="s">
        <v>4</v>
      </c>
      <c r="E2" s="5" t="s">
        <v>5</v>
      </c>
      <c r="F2" s="5" t="s">
        <v>6</v>
      </c>
    </row>
    <row r="3" spans="1:9" x14ac:dyDescent="0.25">
      <c r="A3" s="6"/>
      <c r="B3" s="6" t="s">
        <v>7</v>
      </c>
      <c r="C3" s="7"/>
      <c r="D3" s="7"/>
      <c r="E3" s="7"/>
      <c r="F3" s="8">
        <v>488459</v>
      </c>
      <c r="I3" s="9"/>
    </row>
    <row r="4" spans="1:9" x14ac:dyDescent="0.25">
      <c r="A4" s="10" t="s">
        <v>8</v>
      </c>
      <c r="B4" s="11" t="s">
        <v>9</v>
      </c>
      <c r="C4" s="12"/>
      <c r="D4" s="8">
        <v>226749.41</v>
      </c>
      <c r="E4" s="8"/>
      <c r="F4" s="8">
        <f>+F3+D4-E4</f>
        <v>715208.41</v>
      </c>
    </row>
    <row r="5" spans="1:9" x14ac:dyDescent="0.25">
      <c r="A5" s="10" t="s">
        <v>10</v>
      </c>
      <c r="B5" s="11" t="s">
        <v>11</v>
      </c>
      <c r="C5" s="12"/>
      <c r="D5" s="8">
        <v>416935.31</v>
      </c>
      <c r="E5" s="8"/>
      <c r="F5" s="8">
        <f t="shared" ref="F5:F34" si="0">+F4+D5-E5</f>
        <v>1132143.72</v>
      </c>
    </row>
    <row r="6" spans="1:9" x14ac:dyDescent="0.25">
      <c r="A6" s="10"/>
      <c r="B6" s="11" t="s">
        <v>11</v>
      </c>
      <c r="C6" s="12"/>
      <c r="D6" s="8"/>
      <c r="E6" s="8">
        <v>288566.15000000002</v>
      </c>
      <c r="F6" s="8">
        <f t="shared" si="0"/>
        <v>843577.57</v>
      </c>
    </row>
    <row r="7" spans="1:9" x14ac:dyDescent="0.25">
      <c r="A7" s="10" t="s">
        <v>12</v>
      </c>
      <c r="B7" s="11" t="s">
        <v>13</v>
      </c>
      <c r="C7" s="12"/>
      <c r="D7" s="8">
        <v>550844.93000000005</v>
      </c>
      <c r="E7" s="8"/>
      <c r="F7" s="8">
        <f t="shared" si="0"/>
        <v>1394422.5</v>
      </c>
    </row>
    <row r="8" spans="1:9" x14ac:dyDescent="0.25">
      <c r="A8" s="10" t="s">
        <v>14</v>
      </c>
      <c r="B8" s="11" t="s">
        <v>15</v>
      </c>
      <c r="C8" s="7"/>
      <c r="D8" s="8">
        <v>697123.67</v>
      </c>
      <c r="E8" s="8"/>
      <c r="F8" s="13">
        <f t="shared" si="0"/>
        <v>2091546.17</v>
      </c>
    </row>
    <row r="9" spans="1:9" x14ac:dyDescent="0.25">
      <c r="A9" s="10"/>
      <c r="B9" s="11" t="s">
        <v>15</v>
      </c>
      <c r="C9" s="7"/>
      <c r="D9" s="8"/>
      <c r="E9" s="8">
        <v>1305399.17</v>
      </c>
      <c r="F9" s="8">
        <f t="shared" si="0"/>
        <v>786147</v>
      </c>
    </row>
    <row r="10" spans="1:9" x14ac:dyDescent="0.25">
      <c r="A10" s="10" t="s">
        <v>16</v>
      </c>
      <c r="B10" s="11" t="s">
        <v>17</v>
      </c>
      <c r="C10" s="7"/>
      <c r="D10" s="8">
        <v>258746.34</v>
      </c>
      <c r="E10" s="8"/>
      <c r="F10" s="8">
        <f t="shared" si="0"/>
        <v>1044893.34</v>
      </c>
    </row>
    <row r="11" spans="1:9" x14ac:dyDescent="0.25">
      <c r="A11" s="10" t="s">
        <v>18</v>
      </c>
      <c r="B11" s="11" t="s">
        <v>19</v>
      </c>
      <c r="C11" s="7"/>
      <c r="D11" s="8">
        <v>427631.6</v>
      </c>
      <c r="E11" s="8"/>
      <c r="F11" s="8">
        <f t="shared" si="0"/>
        <v>1472524.94</v>
      </c>
    </row>
    <row r="12" spans="1:9" x14ac:dyDescent="0.25">
      <c r="A12" s="10"/>
      <c r="B12" s="11" t="s">
        <v>19</v>
      </c>
      <c r="C12" s="7"/>
      <c r="D12" s="8"/>
      <c r="E12" s="8">
        <v>955870.09</v>
      </c>
      <c r="F12" s="8">
        <f t="shared" si="0"/>
        <v>516654.85</v>
      </c>
    </row>
    <row r="13" spans="1:9" x14ac:dyDescent="0.25">
      <c r="A13" s="10" t="s">
        <v>20</v>
      </c>
      <c r="B13" s="11" t="s">
        <v>21</v>
      </c>
      <c r="C13" s="7"/>
      <c r="D13" s="8">
        <v>688717.41</v>
      </c>
      <c r="E13" s="8"/>
      <c r="F13" s="8">
        <f t="shared" si="0"/>
        <v>1205372.26</v>
      </c>
    </row>
    <row r="14" spans="1:9" x14ac:dyDescent="0.25">
      <c r="A14" s="10" t="s">
        <v>22</v>
      </c>
      <c r="B14" s="11" t="s">
        <v>23</v>
      </c>
      <c r="C14" s="7"/>
      <c r="D14" s="8">
        <v>631643.38</v>
      </c>
      <c r="E14" s="8"/>
      <c r="F14" s="8">
        <f t="shared" si="0"/>
        <v>1837015.6400000001</v>
      </c>
    </row>
    <row r="15" spans="1:9" x14ac:dyDescent="0.25">
      <c r="A15" s="10"/>
      <c r="B15" s="11" t="s">
        <v>23</v>
      </c>
      <c r="C15" s="14"/>
      <c r="D15" s="15"/>
      <c r="E15" s="15">
        <v>1116349.01</v>
      </c>
      <c r="F15" s="8">
        <f t="shared" si="0"/>
        <v>720666.63000000012</v>
      </c>
    </row>
    <row r="16" spans="1:9" x14ac:dyDescent="0.25">
      <c r="A16" s="10" t="s">
        <v>24</v>
      </c>
      <c r="B16" s="11" t="s">
        <v>25</v>
      </c>
      <c r="C16" s="14"/>
      <c r="D16" s="15">
        <v>401282.22</v>
      </c>
      <c r="E16" s="15"/>
      <c r="F16" s="8">
        <f t="shared" si="0"/>
        <v>1121948.8500000001</v>
      </c>
    </row>
    <row r="17" spans="1:6" x14ac:dyDescent="0.25">
      <c r="A17" s="10" t="s">
        <v>26</v>
      </c>
      <c r="B17" s="11" t="s">
        <v>27</v>
      </c>
      <c r="C17" s="14"/>
      <c r="D17" s="15">
        <v>310831.96000000002</v>
      </c>
      <c r="E17" s="15"/>
      <c r="F17" s="8">
        <f t="shared" si="0"/>
        <v>1432780.81</v>
      </c>
    </row>
    <row r="18" spans="1:6" x14ac:dyDescent="0.25">
      <c r="A18" s="10"/>
      <c r="B18" s="11" t="s">
        <v>27</v>
      </c>
      <c r="C18" s="14"/>
      <c r="D18" s="15"/>
      <c r="E18" s="15">
        <v>1032925.6</v>
      </c>
      <c r="F18" s="8">
        <f t="shared" si="0"/>
        <v>399855.21000000008</v>
      </c>
    </row>
    <row r="19" spans="1:6" x14ac:dyDescent="0.25">
      <c r="A19" s="10" t="s">
        <v>28</v>
      </c>
      <c r="B19" s="11" t="s">
        <v>29</v>
      </c>
      <c r="C19" s="14"/>
      <c r="D19" s="15">
        <v>1141878.19</v>
      </c>
      <c r="E19" s="15"/>
      <c r="F19" s="8">
        <f t="shared" si="0"/>
        <v>1541733.4</v>
      </c>
    </row>
    <row r="20" spans="1:6" x14ac:dyDescent="0.25">
      <c r="A20" s="10" t="s">
        <v>30</v>
      </c>
      <c r="B20" s="11" t="s">
        <v>31</v>
      </c>
      <c r="C20" s="14"/>
      <c r="D20" s="15">
        <v>2890311.19</v>
      </c>
      <c r="E20" s="15"/>
      <c r="F20" s="8">
        <f t="shared" si="0"/>
        <v>4432044.59</v>
      </c>
    </row>
    <row r="21" spans="1:6" x14ac:dyDescent="0.25">
      <c r="A21" s="10"/>
      <c r="B21" s="11" t="s">
        <v>31</v>
      </c>
      <c r="C21" s="14"/>
      <c r="D21" s="15"/>
      <c r="E21" s="15">
        <v>411274.4</v>
      </c>
      <c r="F21" s="8">
        <f t="shared" si="0"/>
        <v>4020770.19</v>
      </c>
    </row>
    <row r="22" spans="1:6" x14ac:dyDescent="0.25">
      <c r="A22" s="10" t="s">
        <v>32</v>
      </c>
      <c r="B22" s="11" t="s">
        <v>33</v>
      </c>
      <c r="C22" s="14"/>
      <c r="D22" s="16">
        <v>524165.69</v>
      </c>
      <c r="E22" s="16"/>
      <c r="F22" s="8">
        <f t="shared" si="0"/>
        <v>4544935.88</v>
      </c>
    </row>
    <row r="23" spans="1:6" x14ac:dyDescent="0.25">
      <c r="A23" s="10"/>
      <c r="B23" s="11" t="s">
        <v>33</v>
      </c>
      <c r="C23" s="7"/>
      <c r="D23" s="17"/>
      <c r="E23" s="17">
        <v>3931746.94</v>
      </c>
      <c r="F23" s="8">
        <f t="shared" si="0"/>
        <v>613188.93999999994</v>
      </c>
    </row>
    <row r="24" spans="1:6" x14ac:dyDescent="0.25">
      <c r="A24" s="10" t="s">
        <v>34</v>
      </c>
      <c r="B24" s="11" t="s">
        <v>35</v>
      </c>
      <c r="C24" s="7"/>
      <c r="D24" s="17">
        <v>109331.94</v>
      </c>
      <c r="E24" s="17"/>
      <c r="F24" s="8">
        <f t="shared" si="0"/>
        <v>722520.87999999989</v>
      </c>
    </row>
    <row r="25" spans="1:6" x14ac:dyDescent="0.25">
      <c r="A25" s="10" t="s">
        <v>36</v>
      </c>
      <c r="B25" s="11" t="s">
        <v>37</v>
      </c>
      <c r="C25" s="14"/>
      <c r="D25" s="18">
        <v>113625.36</v>
      </c>
      <c r="E25" s="16"/>
      <c r="F25" s="8">
        <f t="shared" si="0"/>
        <v>836146.23999999987</v>
      </c>
    </row>
    <row r="26" spans="1:6" x14ac:dyDescent="0.25">
      <c r="A26" s="10"/>
      <c r="B26" s="11" t="s">
        <v>37</v>
      </c>
      <c r="C26" s="14"/>
      <c r="D26" s="17"/>
      <c r="E26" s="15">
        <v>633497.63</v>
      </c>
      <c r="F26" s="8">
        <f t="shared" si="0"/>
        <v>202648.60999999987</v>
      </c>
    </row>
    <row r="27" spans="1:6" x14ac:dyDescent="0.25">
      <c r="A27" s="10" t="s">
        <v>38</v>
      </c>
      <c r="B27" s="11" t="s">
        <v>39</v>
      </c>
      <c r="C27" s="14"/>
      <c r="D27" s="17">
        <v>143443.79999999999</v>
      </c>
      <c r="E27" s="15"/>
      <c r="F27" s="8">
        <f t="shared" si="0"/>
        <v>346092.40999999986</v>
      </c>
    </row>
    <row r="28" spans="1:6" x14ac:dyDescent="0.25">
      <c r="A28" s="10" t="s">
        <v>40</v>
      </c>
      <c r="B28" s="11" t="s">
        <v>41</v>
      </c>
      <c r="C28" s="14"/>
      <c r="D28" s="17">
        <v>145013.01</v>
      </c>
      <c r="E28" s="15"/>
      <c r="F28" s="8">
        <f t="shared" si="0"/>
        <v>491105.41999999987</v>
      </c>
    </row>
    <row r="29" spans="1:6" x14ac:dyDescent="0.25">
      <c r="A29" s="10"/>
      <c r="B29" s="11" t="s">
        <v>41</v>
      </c>
      <c r="C29" s="14"/>
      <c r="D29" s="19"/>
      <c r="E29" s="15">
        <v>257069.16</v>
      </c>
      <c r="F29" s="8">
        <f t="shared" si="0"/>
        <v>234036.25999999986</v>
      </c>
    </row>
    <row r="30" spans="1:6" x14ac:dyDescent="0.25">
      <c r="A30" s="10" t="s">
        <v>42</v>
      </c>
      <c r="B30" s="11" t="s">
        <v>43</v>
      </c>
      <c r="C30" s="14"/>
      <c r="D30" s="17">
        <v>84375.61</v>
      </c>
      <c r="E30" s="15"/>
      <c r="F30" s="8">
        <f t="shared" si="0"/>
        <v>318411.86999999988</v>
      </c>
    </row>
    <row r="31" spans="1:6" x14ac:dyDescent="0.25">
      <c r="A31" s="10" t="s">
        <v>44</v>
      </c>
      <c r="B31" s="11" t="s">
        <v>45</v>
      </c>
      <c r="C31" s="14"/>
      <c r="D31" s="17">
        <v>152193.91</v>
      </c>
      <c r="E31" s="15"/>
      <c r="F31" s="8">
        <f t="shared" si="0"/>
        <v>470605.77999999991</v>
      </c>
    </row>
    <row r="32" spans="1:6" x14ac:dyDescent="0.25">
      <c r="A32" s="10" t="s">
        <v>46</v>
      </c>
      <c r="B32" s="11" t="s">
        <v>47</v>
      </c>
      <c r="C32" s="14"/>
      <c r="D32" s="17">
        <v>98379.199999999997</v>
      </c>
      <c r="E32" s="15"/>
      <c r="F32" s="8">
        <f t="shared" si="0"/>
        <v>568984.97999999986</v>
      </c>
    </row>
    <row r="33" spans="1:9" x14ac:dyDescent="0.25">
      <c r="A33" s="10"/>
      <c r="B33" s="11" t="s">
        <v>47</v>
      </c>
      <c r="C33" s="7"/>
      <c r="D33" s="18"/>
      <c r="E33" s="16">
        <v>381582.53</v>
      </c>
      <c r="F33" s="8">
        <f t="shared" si="0"/>
        <v>187402.44999999984</v>
      </c>
    </row>
    <row r="34" spans="1:9" x14ac:dyDescent="0.25">
      <c r="A34" s="10" t="s">
        <v>48</v>
      </c>
      <c r="B34" s="11" t="s">
        <v>49</v>
      </c>
      <c r="C34" s="7"/>
      <c r="D34" s="17">
        <v>159434.54</v>
      </c>
      <c r="E34" s="15"/>
      <c r="F34" s="8">
        <f t="shared" si="0"/>
        <v>346836.98999999987</v>
      </c>
    </row>
    <row r="35" spans="1:9" ht="15.75" thickBot="1" x14ac:dyDescent="0.3">
      <c r="A35" s="10"/>
      <c r="B35" s="11"/>
      <c r="C35" s="14"/>
      <c r="D35" s="20">
        <f>SUM(D4:D34)</f>
        <v>10172658.669999996</v>
      </c>
      <c r="E35" s="21">
        <f>SUM(E4:E34)</f>
        <v>10314280.68</v>
      </c>
      <c r="F35" s="22">
        <f>+F3+D35-E35</f>
        <v>346836.9899999965</v>
      </c>
    </row>
    <row r="36" spans="1:9" ht="15.75" thickTop="1" x14ac:dyDescent="0.25">
      <c r="A36" s="10"/>
      <c r="B36" s="11"/>
      <c r="C36" s="14"/>
      <c r="D36" s="18"/>
      <c r="E36" s="16"/>
      <c r="F36" s="23"/>
    </row>
    <row r="37" spans="1:9" x14ac:dyDescent="0.25">
      <c r="A37" s="10"/>
      <c r="B37" s="11"/>
      <c r="C37" s="14"/>
      <c r="D37" s="17"/>
      <c r="E37" s="15"/>
      <c r="F37" s="8"/>
    </row>
    <row r="38" spans="1:9" x14ac:dyDescent="0.25">
      <c r="A38" s="6"/>
      <c r="B38" s="11"/>
      <c r="C38" s="14"/>
      <c r="D38" s="18"/>
      <c r="E38" s="16"/>
      <c r="F38" s="23"/>
      <c r="I38" s="24"/>
    </row>
    <row r="39" spans="1:9" ht="14.45" customHeight="1" x14ac:dyDescent="0.25">
      <c r="A39" s="25"/>
      <c r="B39" s="26"/>
      <c r="C39" s="26"/>
      <c r="D39" s="26"/>
      <c r="E39" s="27"/>
      <c r="F39" s="23"/>
    </row>
    <row r="40" spans="1:9" x14ac:dyDescent="0.25">
      <c r="A40" s="6"/>
      <c r="B40" s="28"/>
      <c r="C40" s="28"/>
      <c r="D40" s="28"/>
      <c r="E40" s="29"/>
      <c r="F40" s="8"/>
    </row>
    <row r="41" spans="1:9" ht="18.600000000000001" customHeight="1" x14ac:dyDescent="0.25">
      <c r="A41" s="6"/>
      <c r="B41" s="28"/>
      <c r="C41" s="28"/>
      <c r="D41" s="28"/>
      <c r="E41" s="8"/>
      <c r="F41" s="8"/>
    </row>
    <row r="42" spans="1:9" x14ac:dyDescent="0.25">
      <c r="A42" s="6"/>
      <c r="B42" s="30"/>
      <c r="C42" s="7"/>
      <c r="D42" s="8"/>
      <c r="E42" s="8"/>
      <c r="F42" s="8"/>
    </row>
    <row r="43" spans="1:9" x14ac:dyDescent="0.25">
      <c r="A43" s="6"/>
      <c r="B43" s="30"/>
      <c r="C43" s="6"/>
      <c r="D43" s="31"/>
      <c r="E43" s="29"/>
      <c r="F43" s="8"/>
    </row>
    <row r="44" spans="1:9" x14ac:dyDescent="0.25">
      <c r="A44" s="6"/>
      <c r="B44" s="30"/>
      <c r="C44" s="14"/>
      <c r="D44" s="8"/>
      <c r="E44" s="29"/>
      <c r="F44" s="8"/>
    </row>
    <row r="45" spans="1:9" x14ac:dyDescent="0.25">
      <c r="A45" s="6"/>
      <c r="B45" s="32" t="s">
        <v>50</v>
      </c>
      <c r="C45" s="32"/>
      <c r="D45" s="32"/>
      <c r="E45" s="29"/>
      <c r="F45" s="8"/>
    </row>
    <row r="46" spans="1:9" x14ac:dyDescent="0.25">
      <c r="A46" s="6"/>
      <c r="B46" s="32"/>
      <c r="C46" s="32"/>
      <c r="D46" s="32"/>
      <c r="E46" s="29"/>
      <c r="F46" s="8"/>
    </row>
    <row r="47" spans="1:9" ht="21" customHeight="1" x14ac:dyDescent="0.25">
      <c r="A47" s="6"/>
      <c r="B47" s="32"/>
      <c r="C47" s="32"/>
      <c r="D47" s="32"/>
      <c r="E47" s="8"/>
      <c r="F47" s="8"/>
    </row>
    <row r="48" spans="1:9" x14ac:dyDescent="0.25">
      <c r="A48" s="6"/>
      <c r="B48" s="30"/>
      <c r="C48" s="7"/>
      <c r="D48" s="8"/>
      <c r="E48" s="8"/>
      <c r="F48" s="8"/>
    </row>
    <row r="49" spans="1:6" x14ac:dyDescent="0.25">
      <c r="A49" s="6"/>
      <c r="B49" s="30"/>
      <c r="C49" s="6"/>
      <c r="D49" s="31"/>
      <c r="E49" s="29"/>
      <c r="F49" s="8"/>
    </row>
    <row r="50" spans="1:6" x14ac:dyDescent="0.25">
      <c r="A50" s="6"/>
      <c r="B50" s="30"/>
      <c r="C50" s="14"/>
      <c r="D50" s="8"/>
      <c r="E50" s="29"/>
      <c r="F50" s="8"/>
    </row>
    <row r="51" spans="1:6" x14ac:dyDescent="0.25">
      <c r="A51" s="6"/>
      <c r="B51" s="30"/>
      <c r="C51" s="6"/>
      <c r="D51" s="31"/>
      <c r="E51" s="29"/>
      <c r="F51" s="8"/>
    </row>
    <row r="52" spans="1:6" x14ac:dyDescent="0.25">
      <c r="A52" s="6"/>
      <c r="B52" s="30"/>
      <c r="C52" s="14"/>
      <c r="D52" s="8"/>
      <c r="E52" s="29"/>
      <c r="F52" s="8"/>
    </row>
    <row r="53" spans="1:6" x14ac:dyDescent="0.25">
      <c r="A53" s="6"/>
      <c r="B53" s="30"/>
      <c r="C53" s="33" t="s">
        <v>51</v>
      </c>
      <c r="D53" s="34"/>
      <c r="E53" s="35"/>
      <c r="F53" s="8"/>
    </row>
    <row r="54" spans="1:6" x14ac:dyDescent="0.25">
      <c r="A54" s="6"/>
      <c r="B54" s="30"/>
      <c r="C54" s="12"/>
      <c r="D54" s="6" t="s">
        <v>52</v>
      </c>
      <c r="E54" s="7"/>
      <c r="F54" s="8"/>
    </row>
    <row r="55" spans="1:6" x14ac:dyDescent="0.25">
      <c r="A55" s="6"/>
      <c r="B55" s="30"/>
      <c r="C55" s="12"/>
      <c r="D55" s="36">
        <v>45688</v>
      </c>
      <c r="E55" s="7"/>
      <c r="F55" s="8"/>
    </row>
    <row r="56" spans="1:6" x14ac:dyDescent="0.25">
      <c r="A56" s="6"/>
      <c r="B56" s="11"/>
      <c r="C56" s="14"/>
      <c r="D56" s="8"/>
      <c r="E56" s="29"/>
      <c r="F56" s="8"/>
    </row>
    <row r="57" spans="1:6" x14ac:dyDescent="0.25">
      <c r="A57" s="6"/>
      <c r="B57" s="11"/>
      <c r="C57" s="14"/>
      <c r="D57" s="8"/>
      <c r="E57" s="29"/>
      <c r="F57" s="8"/>
    </row>
    <row r="58" spans="1:6" x14ac:dyDescent="0.25">
      <c r="A58" s="6"/>
      <c r="B58" s="11"/>
      <c r="C58" s="14"/>
      <c r="D58" s="8"/>
      <c r="E58" s="29"/>
      <c r="F58" s="8"/>
    </row>
    <row r="59" spans="1:6" x14ac:dyDescent="0.25">
      <c r="A59" s="6"/>
      <c r="B59" s="11"/>
      <c r="C59" s="14"/>
      <c r="D59" s="8"/>
      <c r="E59" s="29"/>
      <c r="F59" s="8"/>
    </row>
    <row r="60" spans="1:6" x14ac:dyDescent="0.25">
      <c r="A60" s="6"/>
      <c r="B60" s="11"/>
      <c r="C60" s="14"/>
      <c r="D60" s="8"/>
      <c r="E60" s="29"/>
      <c r="F60" s="8"/>
    </row>
    <row r="61" spans="1:6" x14ac:dyDescent="0.25">
      <c r="A61" s="6"/>
      <c r="B61" s="11"/>
      <c r="C61" s="14"/>
      <c r="D61" s="8"/>
      <c r="E61" s="29"/>
      <c r="F61" s="8"/>
    </row>
    <row r="62" spans="1:6" x14ac:dyDescent="0.25">
      <c r="A62" s="6"/>
      <c r="B62" s="11"/>
      <c r="C62" s="14"/>
      <c r="D62" s="8"/>
      <c r="E62" s="29"/>
      <c r="F62" s="8"/>
    </row>
    <row r="63" spans="1:6" x14ac:dyDescent="0.25">
      <c r="A63" s="6"/>
      <c r="B63" s="11"/>
      <c r="C63" s="14"/>
      <c r="D63" s="8"/>
      <c r="E63" s="29"/>
      <c r="F63" s="8"/>
    </row>
    <row r="64" spans="1:6" x14ac:dyDescent="0.25">
      <c r="A64" s="6"/>
      <c r="B64" s="11"/>
      <c r="C64" s="14"/>
      <c r="D64" s="8"/>
      <c r="E64" s="29"/>
      <c r="F64" s="8"/>
    </row>
    <row r="65" spans="1:6" x14ac:dyDescent="0.25">
      <c r="A65" s="6"/>
      <c r="B65" s="11"/>
      <c r="C65" s="14"/>
      <c r="D65" s="8"/>
      <c r="E65" s="29"/>
      <c r="F65" s="8"/>
    </row>
    <row r="66" spans="1:6" x14ac:dyDescent="0.25">
      <c r="A66" s="6"/>
      <c r="B66" s="11"/>
      <c r="C66" s="14"/>
      <c r="D66" s="8"/>
      <c r="E66" s="29"/>
      <c r="F66" s="8"/>
    </row>
    <row r="67" spans="1:6" x14ac:dyDescent="0.25">
      <c r="A67" s="6"/>
      <c r="B67" s="11"/>
      <c r="C67" s="14"/>
      <c r="D67" s="8"/>
      <c r="E67" s="8"/>
      <c r="F67" s="8"/>
    </row>
    <row r="68" spans="1:6" x14ac:dyDescent="0.25">
      <c r="B68" s="38"/>
      <c r="C68" s="39"/>
      <c r="D68" s="40"/>
      <c r="E68" s="41"/>
      <c r="F68" s="40"/>
    </row>
    <row r="69" spans="1:6" x14ac:dyDescent="0.25">
      <c r="B69" s="38"/>
      <c r="C69" s="39"/>
      <c r="D69" s="40"/>
      <c r="E69" s="41"/>
      <c r="F69" s="40"/>
    </row>
    <row r="70" spans="1:6" x14ac:dyDescent="0.25">
      <c r="B70" s="38"/>
      <c r="C70" s="39"/>
      <c r="D70" s="40"/>
      <c r="E70" s="41"/>
      <c r="F70" s="40"/>
    </row>
    <row r="71" spans="1:6" x14ac:dyDescent="0.25">
      <c r="B71" s="38"/>
      <c r="C71" s="39"/>
      <c r="D71" s="40"/>
      <c r="E71" s="41"/>
      <c r="F71" s="40"/>
    </row>
    <row r="72" spans="1:6" x14ac:dyDescent="0.25">
      <c r="B72" s="38"/>
      <c r="C72" s="39"/>
      <c r="D72" s="40"/>
      <c r="E72" s="41"/>
      <c r="F72" s="40"/>
    </row>
    <row r="73" spans="1:6" x14ac:dyDescent="0.25">
      <c r="B73" s="38"/>
      <c r="C73" s="39"/>
      <c r="D73" s="40"/>
      <c r="E73" s="41"/>
      <c r="F73" s="40"/>
    </row>
    <row r="74" spans="1:6" x14ac:dyDescent="0.25">
      <c r="B74" s="42"/>
      <c r="C74" s="39"/>
    </row>
  </sheetData>
  <mergeCells count="5">
    <mergeCell ref="A1:A2"/>
    <mergeCell ref="B1:B2"/>
    <mergeCell ref="C1:C2"/>
    <mergeCell ref="D1:F1"/>
    <mergeCell ref="B45:D47"/>
  </mergeCells>
  <pageMargins left="0.23622047244094491" right="0.23622047244094491" top="0.35433070866141736" bottom="0.39370078740157483" header="0.31496062992125984" footer="0.11811023622047245"/>
  <pageSetup paperSize="5" scale="90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jan-26 </vt:lpstr>
      <vt:lpstr>'jan-26 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 Ann</dc:creator>
  <cp:lastModifiedBy>Jo Ann</cp:lastModifiedBy>
  <dcterms:created xsi:type="dcterms:W3CDTF">2026-06-23T02:55:05Z</dcterms:created>
  <dcterms:modified xsi:type="dcterms:W3CDTF">2026-06-23T02:56:11Z</dcterms:modified>
</cp:coreProperties>
</file>